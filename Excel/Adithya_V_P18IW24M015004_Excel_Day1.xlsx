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BA\GIT HUB\EXCEL\"/>
    </mc:Choice>
  </mc:AlternateContent>
  <xr:revisionPtr revIDLastSave="0" documentId="8_{3AF887EB-D1E8-49A8-9C5C-A4F09ABDCC3B}" xr6:coauthVersionLast="47" xr6:coauthVersionMax="47" xr10:uidLastSave="{00000000-0000-0000-0000-000000000000}"/>
  <bookViews>
    <workbookView xWindow="-108" yWindow="-108" windowWidth="23256" windowHeight="13176" xr2:uid="{143C2A27-3D93-4E97-A1F4-A5E1B1063B0F}"/>
  </bookViews>
  <sheets>
    <sheet name="MONTHLY BUDGET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B15" i="1"/>
  <c r="C14" i="1"/>
  <c r="D14" i="1"/>
  <c r="B14" i="1"/>
  <c r="C13" i="1"/>
  <c r="D13" i="1"/>
  <c r="B13" i="1"/>
  <c r="C12" i="1"/>
  <c r="D12" i="1"/>
  <c r="B12" i="1"/>
  <c r="E3" i="1"/>
  <c r="E4" i="1"/>
  <c r="E5" i="1"/>
  <c r="E12" i="1" s="1"/>
  <c r="E6" i="1"/>
  <c r="E7" i="1"/>
  <c r="E8" i="1"/>
  <c r="E9" i="1"/>
  <c r="E10" i="1"/>
  <c r="D11" i="1"/>
  <c r="C11" i="1"/>
  <c r="B11" i="1"/>
  <c r="E11" i="1" s="1"/>
  <c r="E14" i="1" l="1"/>
  <c r="E15" i="1"/>
  <c r="E13" i="1"/>
</calcChain>
</file>

<file path=xl/sharedStrings.xml><?xml version="1.0" encoding="utf-8"?>
<sst xmlns="http://schemas.openxmlformats.org/spreadsheetml/2006/main" count="19" uniqueCount="19">
  <si>
    <t>MONTHLY BUDGET 2025</t>
  </si>
  <si>
    <t>Expenses</t>
  </si>
  <si>
    <t>Jan</t>
  </si>
  <si>
    <t>Feb</t>
  </si>
  <si>
    <t>March</t>
  </si>
  <si>
    <t>Fuel</t>
  </si>
  <si>
    <t>Food</t>
  </si>
  <si>
    <t>Commuting</t>
  </si>
  <si>
    <t>Stationeries</t>
  </si>
  <si>
    <t>Shopping</t>
  </si>
  <si>
    <t>Entertainment</t>
  </si>
  <si>
    <t>Grooming</t>
  </si>
  <si>
    <t>Miscellaneous</t>
  </si>
  <si>
    <t xml:space="preserve">Total </t>
  </si>
  <si>
    <t>Total</t>
  </si>
  <si>
    <t>MIN</t>
  </si>
  <si>
    <t>MAX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</si>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</sst>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rgb="FFFF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2" fillId="3" borderId="1" xfId="0" applyFont="1" applyFill="1" applyBorder="1"/>
    <xf numFmtId="0" fontId="4" fillId="0" borderId="2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BUDGET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BUDGET 2025'!$B$2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'MONTHLY BUDGET 2025'!$A$3:$A$10</c15:sqref>
                  </c15:fullRef>
                </c:ext>
              </c:extLst>
              <c:f>('MONTHLY BUDGET 2025'!$A$3:$A$5,'MONTHLY BUDGET 2025'!$A$10)</c:f>
              <c:strCache>
                <c:ptCount val="4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 2025'!$B$3:$B$10</c15:sqref>
                  </c15:fullRef>
                </c:ext>
              </c:extLst>
              <c:f>('MONTHLY BUDGET 2025'!$B$3:$B$5,'MONTHLY BUDGET 2025'!$B$10)</c:f>
              <c:numCache>
                <c:formatCode>General</c:formatCode>
                <c:ptCount val="4"/>
                <c:pt idx="0">
                  <c:v>2500</c:v>
                </c:pt>
                <c:pt idx="1">
                  <c:v>3000</c:v>
                </c:pt>
                <c:pt idx="2">
                  <c:v>6500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3-495C-BD0B-052891835910}"/>
            </c:ext>
          </c:extLst>
        </c:ser>
        <c:ser>
          <c:idx val="1"/>
          <c:order val="1"/>
          <c:tx>
            <c:strRef>
              <c:f>'MONTHLY BUDGET 2025'!$C$2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'MONTHLY BUDGET 2025'!$A$3:$A$10</c15:sqref>
                  </c15:fullRef>
                </c:ext>
              </c:extLst>
              <c:f>('MONTHLY BUDGET 2025'!$A$3:$A$5,'MONTHLY BUDGET 2025'!$A$10)</c:f>
              <c:strCache>
                <c:ptCount val="4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 2025'!$C$3:$C$10</c15:sqref>
                  </c15:fullRef>
                </c:ext>
              </c:extLst>
              <c:f>('MONTHLY BUDGET 2025'!$C$3:$C$5,'MONTHLY BUDGET 2025'!$C$10)</c:f>
              <c:numCache>
                <c:formatCode>General</c:formatCode>
                <c:ptCount val="4"/>
                <c:pt idx="0">
                  <c:v>3000</c:v>
                </c:pt>
                <c:pt idx="1">
                  <c:v>6000</c:v>
                </c:pt>
                <c:pt idx="2">
                  <c:v>7000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3-495C-BD0B-052891835910}"/>
            </c:ext>
          </c:extLst>
        </c:ser>
        <c:ser>
          <c:idx val="2"/>
          <c:order val="2"/>
          <c:tx>
            <c:strRef>
              <c:f>'MONTHLY BUDGET 2025'!$D$2</c:f>
              <c:strCache>
                <c:ptCount val="1"/>
                <c:pt idx="0">
                  <c:v>March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'MONTHLY BUDGET 2025'!$A$3:$A$10</c15:sqref>
                  </c15:fullRef>
                </c:ext>
              </c:extLst>
              <c:f>('MONTHLY BUDGET 2025'!$A$3:$A$5,'MONTHLY BUDGET 2025'!$A$10)</c:f>
              <c:strCache>
                <c:ptCount val="4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 2025'!$D$3:$D$10</c15:sqref>
                  </c15:fullRef>
                </c:ext>
              </c:extLst>
              <c:f>('MONTHLY BUDGET 2025'!$D$3:$D$5,'MONTHLY BUDGET 2025'!$D$10)</c:f>
              <c:numCache>
                <c:formatCode>General</c:formatCode>
                <c:ptCount val="4"/>
                <c:pt idx="0">
                  <c:v>2200</c:v>
                </c:pt>
                <c:pt idx="1">
                  <c:v>3300</c:v>
                </c:pt>
                <c:pt idx="2">
                  <c:v>6300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3-495C-BD0B-052891835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611807"/>
        <c:axId val="175613247"/>
      </c:barChart>
      <c:catAx>
        <c:axId val="17561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3247"/>
        <c:crosses val="autoZero"/>
        <c:auto val="1"/>
        <c:lblAlgn val="ctr"/>
        <c:lblOffset val="100"/>
        <c:noMultiLvlLbl val="0"/>
      </c:catAx>
      <c:valAx>
        <c:axId val="1756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 2025'!$B$2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3-4F0A-B4CD-263CAF52F7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3-4F0A-B4CD-263CAF52F7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23-4F0A-B4CD-263CAF52F7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23-4F0A-B4CD-263CAF52F7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23-4F0A-B4CD-263CAF52F7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23-4F0A-B4CD-263CAF52F7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23-4F0A-B4CD-263CAF52F7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23-4F0A-B4CD-263CAF52F761}"/>
              </c:ext>
            </c:extLst>
          </c:dPt>
          <c:cat>
            <c:strRef>
              <c:f>'MONTHLY BUDGET 2025'!$A$3:$A$10</c:f>
              <c:strCache>
                <c:ptCount val="8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Stationeries</c:v>
                </c:pt>
                <c:pt idx="4">
                  <c:v>Shopping</c:v>
                </c:pt>
                <c:pt idx="5">
                  <c:v>Entertainment</c:v>
                </c:pt>
                <c:pt idx="6">
                  <c:v>Grooming</c:v>
                </c:pt>
                <c:pt idx="7">
                  <c:v>Miscellaneous</c:v>
                </c:pt>
              </c:strCache>
            </c:strRef>
          </c:cat>
          <c:val>
            <c:numRef>
              <c:f>'MONTHLY BUDGET 2025'!$B$3:$B$10</c:f>
              <c:numCache>
                <c:formatCode>General</c:formatCode>
                <c:ptCount val="8"/>
                <c:pt idx="0">
                  <c:v>2500</c:v>
                </c:pt>
                <c:pt idx="1">
                  <c:v>3000</c:v>
                </c:pt>
                <c:pt idx="2">
                  <c:v>6500</c:v>
                </c:pt>
                <c:pt idx="3">
                  <c:v>200</c:v>
                </c:pt>
                <c:pt idx="4">
                  <c:v>400</c:v>
                </c:pt>
                <c:pt idx="5">
                  <c:v>350</c:v>
                </c:pt>
                <c:pt idx="6">
                  <c:v>300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8-47D8-83AB-035BD425DB3B}"/>
            </c:ext>
          </c:extLst>
        </c:ser>
        <c:ser>
          <c:idx val="1"/>
          <c:order val="1"/>
          <c:tx>
            <c:strRef>
              <c:f>'MONTHLY BUDGET 2025'!$C$2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23-4F0A-B4CD-263CAF52F7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F23-4F0A-B4CD-263CAF52F7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F23-4F0A-B4CD-263CAF52F7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F23-4F0A-B4CD-263CAF52F7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F23-4F0A-B4CD-263CAF52F7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F23-4F0A-B4CD-263CAF52F7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F23-4F0A-B4CD-263CAF52F7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F23-4F0A-B4CD-263CAF52F761}"/>
              </c:ext>
            </c:extLst>
          </c:dPt>
          <c:cat>
            <c:strRef>
              <c:f>'MONTHLY BUDGET 2025'!$A$3:$A$10</c:f>
              <c:strCache>
                <c:ptCount val="8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Stationeries</c:v>
                </c:pt>
                <c:pt idx="4">
                  <c:v>Shopping</c:v>
                </c:pt>
                <c:pt idx="5">
                  <c:v>Entertainment</c:v>
                </c:pt>
                <c:pt idx="6">
                  <c:v>Grooming</c:v>
                </c:pt>
                <c:pt idx="7">
                  <c:v>Miscellaneous</c:v>
                </c:pt>
              </c:strCache>
            </c:strRef>
          </c:cat>
          <c:val>
            <c:numRef>
              <c:f>'MONTHLY BUDGET 2025'!$C$3:$C$10</c:f>
              <c:numCache>
                <c:formatCode>General</c:formatCode>
                <c:ptCount val="8"/>
                <c:pt idx="0">
                  <c:v>3000</c:v>
                </c:pt>
                <c:pt idx="1">
                  <c:v>6000</c:v>
                </c:pt>
                <c:pt idx="2">
                  <c:v>7000</c:v>
                </c:pt>
                <c:pt idx="3">
                  <c:v>150</c:v>
                </c:pt>
                <c:pt idx="4">
                  <c:v>1000</c:v>
                </c:pt>
                <c:pt idx="5">
                  <c:v>500</c:v>
                </c:pt>
                <c:pt idx="6">
                  <c:v>400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8-47D8-83AB-035BD425DB3B}"/>
            </c:ext>
          </c:extLst>
        </c:ser>
        <c:ser>
          <c:idx val="2"/>
          <c:order val="2"/>
          <c:tx>
            <c:strRef>
              <c:f>'MONTHLY BUDGET 2025'!$D$2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F23-4F0A-B4CD-263CAF52F7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F23-4F0A-B4CD-263CAF52F7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F23-4F0A-B4CD-263CAF52F7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F23-4F0A-B4CD-263CAF52F7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F23-4F0A-B4CD-263CAF52F7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F23-4F0A-B4CD-263CAF52F7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F23-4F0A-B4CD-263CAF52F7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F23-4F0A-B4CD-263CAF52F761}"/>
              </c:ext>
            </c:extLst>
          </c:dPt>
          <c:cat>
            <c:strRef>
              <c:f>'MONTHLY BUDGET 2025'!$A$3:$A$10</c:f>
              <c:strCache>
                <c:ptCount val="8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Stationeries</c:v>
                </c:pt>
                <c:pt idx="4">
                  <c:v>Shopping</c:v>
                </c:pt>
                <c:pt idx="5">
                  <c:v>Entertainment</c:v>
                </c:pt>
                <c:pt idx="6">
                  <c:v>Grooming</c:v>
                </c:pt>
                <c:pt idx="7">
                  <c:v>Miscellaneous</c:v>
                </c:pt>
              </c:strCache>
            </c:strRef>
          </c:cat>
          <c:val>
            <c:numRef>
              <c:f>'MONTHLY BUDGET 2025'!$D$3:$D$10</c:f>
              <c:numCache>
                <c:formatCode>General</c:formatCode>
                <c:ptCount val="8"/>
                <c:pt idx="0">
                  <c:v>2200</c:v>
                </c:pt>
                <c:pt idx="1">
                  <c:v>3300</c:v>
                </c:pt>
                <c:pt idx="2">
                  <c:v>6300</c:v>
                </c:pt>
                <c:pt idx="3">
                  <c:v>400</c:v>
                </c:pt>
                <c:pt idx="4">
                  <c:v>600</c:v>
                </c:pt>
                <c:pt idx="5">
                  <c:v>550</c:v>
                </c:pt>
                <c:pt idx="6">
                  <c:v>500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18-47D8-83AB-035BD425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'MONTHLY BUDGET 2025'!$C$2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A76-4EC7-9B77-D33E3A46FB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A76-4EC7-9B77-D33E3A46FB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A76-4EC7-9B77-D33E3A46FB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A76-4EC7-9B77-D33E3A46FB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A76-4EC7-9B77-D33E3A46FB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A76-4EC7-9B77-D33E3A46FB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DA76-4EC7-9B77-D33E3A46FB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DA76-4EC7-9B77-D33E3A46FB6C}"/>
              </c:ext>
            </c:extLst>
          </c:dPt>
          <c:cat>
            <c:strRef>
              <c:f>'MONTHLY BUDGET 2025'!$A$3:$A$10</c:f>
              <c:strCache>
                <c:ptCount val="8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Stationeries</c:v>
                </c:pt>
                <c:pt idx="4">
                  <c:v>Shopping</c:v>
                </c:pt>
                <c:pt idx="5">
                  <c:v>Entertainment</c:v>
                </c:pt>
                <c:pt idx="6">
                  <c:v>Grooming</c:v>
                </c:pt>
                <c:pt idx="7">
                  <c:v>Miscellaneous</c:v>
                </c:pt>
              </c:strCache>
            </c:strRef>
          </c:cat>
          <c:val>
            <c:numRef>
              <c:f>'MONTHLY BUDGET 2025'!$C$3:$C$10</c:f>
              <c:numCache>
                <c:formatCode>General</c:formatCode>
                <c:ptCount val="8"/>
                <c:pt idx="0">
                  <c:v>3000</c:v>
                </c:pt>
                <c:pt idx="1">
                  <c:v>6000</c:v>
                </c:pt>
                <c:pt idx="2">
                  <c:v>7000</c:v>
                </c:pt>
                <c:pt idx="3">
                  <c:v>150</c:v>
                </c:pt>
                <c:pt idx="4">
                  <c:v>1000</c:v>
                </c:pt>
                <c:pt idx="5">
                  <c:v>500</c:v>
                </c:pt>
                <c:pt idx="6">
                  <c:v>400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A76-4EC7-9B77-D33E3A46F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BUDGET 2025'!$B$2</c15:sqref>
                        </c15:formulaRef>
                      </c:ext>
                    </c:extLst>
                    <c:strCache>
                      <c:ptCount val="1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DA76-4EC7-9B77-D33E3A46FB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DA76-4EC7-9B77-D33E3A46FB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DA76-4EC7-9B77-D33E3A46FB6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DA76-4EC7-9B77-D33E3A46FB6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DA76-4EC7-9B77-D33E3A46FB6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DA76-4EC7-9B77-D33E3A46FB6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DA76-4EC7-9B77-D33E3A46FB6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DA76-4EC7-9B77-D33E3A46FB6C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'MONTHLY BUDGET 2025'!$A$3:$A$10</c15:sqref>
                        </c15:formulaRef>
                      </c:ext>
                    </c:extLst>
                    <c:strCache>
                      <c:ptCount val="8"/>
                      <c:pt idx="0">
                        <c:v>Fuel</c:v>
                      </c:pt>
                      <c:pt idx="1">
                        <c:v>Food</c:v>
                      </c:pt>
                      <c:pt idx="2">
                        <c:v>Commuting</c:v>
                      </c:pt>
                      <c:pt idx="3">
                        <c:v>Stationeries</c:v>
                      </c:pt>
                      <c:pt idx="4">
                        <c:v>Shopping</c:v>
                      </c:pt>
                      <c:pt idx="5">
                        <c:v>Entertainment</c:v>
                      </c:pt>
                      <c:pt idx="6">
                        <c:v>Grooming</c:v>
                      </c:pt>
                      <c:pt idx="7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BUDGET 2025'!$B$3:$B$10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2500</c:v>
                      </c:pt>
                      <c:pt idx="1">
                        <c:v>3000</c:v>
                      </c:pt>
                      <c:pt idx="2">
                        <c:v>6500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350</c:v>
                      </c:pt>
                      <c:pt idx="6">
                        <c:v>300</c:v>
                      </c:pt>
                      <c:pt idx="7">
                        <c:v>2000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DA76-4EC7-9B77-D33E3A46FB6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 2025'!$D$2</c15:sqref>
                        </c15:formulaRef>
                      </c:ext>
                    </c:extLst>
                    <c:strCache>
                      <c:ptCount val="1"/>
                      <c:pt idx="0">
                        <c:v>March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DA76-4EC7-9B77-D33E3A46FB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DA76-4EC7-9B77-D33E3A46FB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DA76-4EC7-9B77-D33E3A46FB6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DA76-4EC7-9B77-D33E3A46FB6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DA76-4EC7-9B77-D33E3A46FB6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DA76-4EC7-9B77-D33E3A46FB6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DA76-4EC7-9B77-D33E3A46FB6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DA76-4EC7-9B77-D33E3A46FB6C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 2025'!$A$3:$A$10</c15:sqref>
                        </c15:formulaRef>
                      </c:ext>
                    </c:extLst>
                    <c:strCache>
                      <c:ptCount val="8"/>
                      <c:pt idx="0">
                        <c:v>Fuel</c:v>
                      </c:pt>
                      <c:pt idx="1">
                        <c:v>Food</c:v>
                      </c:pt>
                      <c:pt idx="2">
                        <c:v>Commuting</c:v>
                      </c:pt>
                      <c:pt idx="3">
                        <c:v>Stationeries</c:v>
                      </c:pt>
                      <c:pt idx="4">
                        <c:v>Shopping</c:v>
                      </c:pt>
                      <c:pt idx="5">
                        <c:v>Entertainment</c:v>
                      </c:pt>
                      <c:pt idx="6">
                        <c:v>Grooming</c:v>
                      </c:pt>
                      <c:pt idx="7">
                        <c:v>Miscellaneous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 2025'!$D$3:$D$10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2200</c:v>
                      </c:pt>
                      <c:pt idx="1">
                        <c:v>3300</c:v>
                      </c:pt>
                      <c:pt idx="2">
                        <c:v>6300</c:v>
                      </c:pt>
                      <c:pt idx="3">
                        <c:v>400</c:v>
                      </c:pt>
                      <c:pt idx="4">
                        <c:v>600</c:v>
                      </c:pt>
                      <c:pt idx="5">
                        <c:v>550</c:v>
                      </c:pt>
                      <c:pt idx="6">
                        <c:v>500</c:v>
                      </c:pt>
                      <c:pt idx="7">
                        <c:v>2000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DA76-4EC7-9B77-D33E3A46FB6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'MONTHLY BUDGET 2025'!$D$2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B03-4E0E-BA2F-36651D990A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B03-4E0E-BA2F-36651D990A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B03-4E0E-BA2F-36651D990A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B03-4E0E-BA2F-36651D990A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B03-4E0E-BA2F-36651D990A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B03-4E0E-BA2F-36651D990A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B03-4E0E-BA2F-36651D990A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B03-4E0E-BA2F-36651D990A2A}"/>
              </c:ext>
            </c:extLst>
          </c:dPt>
          <c:cat>
            <c:strRef>
              <c:f>'MONTHLY BUDGET 2025'!$A$3:$A$10</c:f>
              <c:strCache>
                <c:ptCount val="8"/>
                <c:pt idx="0">
                  <c:v>Fuel</c:v>
                </c:pt>
                <c:pt idx="1">
                  <c:v>Food</c:v>
                </c:pt>
                <c:pt idx="2">
                  <c:v>Commuting</c:v>
                </c:pt>
                <c:pt idx="3">
                  <c:v>Stationeries</c:v>
                </c:pt>
                <c:pt idx="4">
                  <c:v>Shopping</c:v>
                </c:pt>
                <c:pt idx="5">
                  <c:v>Entertainment</c:v>
                </c:pt>
                <c:pt idx="6">
                  <c:v>Grooming</c:v>
                </c:pt>
                <c:pt idx="7">
                  <c:v>Miscellaneous</c:v>
                </c:pt>
              </c:strCache>
            </c:strRef>
          </c:cat>
          <c:val>
            <c:numRef>
              <c:f>'MONTHLY BUDGET 2025'!$D$3:$D$10</c:f>
              <c:numCache>
                <c:formatCode>General</c:formatCode>
                <c:ptCount val="8"/>
                <c:pt idx="0">
                  <c:v>2200</c:v>
                </c:pt>
                <c:pt idx="1">
                  <c:v>3300</c:v>
                </c:pt>
                <c:pt idx="2">
                  <c:v>6300</c:v>
                </c:pt>
                <c:pt idx="3">
                  <c:v>400</c:v>
                </c:pt>
                <c:pt idx="4">
                  <c:v>600</c:v>
                </c:pt>
                <c:pt idx="5">
                  <c:v>550</c:v>
                </c:pt>
                <c:pt idx="6">
                  <c:v>500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B03-4E0E-BA2F-36651D990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BUDGET 2025'!$B$2</c15:sqref>
                        </c15:formulaRef>
                      </c:ext>
                    </c:extLst>
                    <c:strCache>
                      <c:ptCount val="1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8B03-4E0E-BA2F-36651D990A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8B03-4E0E-BA2F-36651D990A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8B03-4E0E-BA2F-36651D990A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8B03-4E0E-BA2F-36651D990A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8B03-4E0E-BA2F-36651D990A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8B03-4E0E-BA2F-36651D990A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8B03-4E0E-BA2F-36651D990A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8B03-4E0E-BA2F-36651D990A2A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'MONTHLY BUDGET 2025'!$A$3:$A$10</c15:sqref>
                        </c15:formulaRef>
                      </c:ext>
                    </c:extLst>
                    <c:strCache>
                      <c:ptCount val="8"/>
                      <c:pt idx="0">
                        <c:v>Fuel</c:v>
                      </c:pt>
                      <c:pt idx="1">
                        <c:v>Food</c:v>
                      </c:pt>
                      <c:pt idx="2">
                        <c:v>Commuting</c:v>
                      </c:pt>
                      <c:pt idx="3">
                        <c:v>Stationeries</c:v>
                      </c:pt>
                      <c:pt idx="4">
                        <c:v>Shopping</c:v>
                      </c:pt>
                      <c:pt idx="5">
                        <c:v>Entertainment</c:v>
                      </c:pt>
                      <c:pt idx="6">
                        <c:v>Grooming</c:v>
                      </c:pt>
                      <c:pt idx="7">
                        <c:v>Miscellaneous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BUDGET 2025'!$B$3:$B$10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2500</c:v>
                      </c:pt>
                      <c:pt idx="1">
                        <c:v>3000</c:v>
                      </c:pt>
                      <c:pt idx="2">
                        <c:v>6500</c:v>
                      </c:pt>
                      <c:pt idx="3">
                        <c:v>200</c:v>
                      </c:pt>
                      <c:pt idx="4">
                        <c:v>400</c:v>
                      </c:pt>
                      <c:pt idx="5">
                        <c:v>350</c:v>
                      </c:pt>
                      <c:pt idx="6">
                        <c:v>300</c:v>
                      </c:pt>
                      <c:pt idx="7">
                        <c:v>2000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8B03-4E0E-BA2F-36651D990A2A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 2025'!$C$2</c15:sqref>
                        </c15:formulaRef>
                      </c:ext>
                    </c:extLst>
                    <c:strCache>
                      <c:ptCount val="1"/>
                      <c:pt idx="0">
                        <c:v>Feb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8B03-4E0E-BA2F-36651D990A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8B03-4E0E-BA2F-36651D990A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8B03-4E0E-BA2F-36651D990A2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8-8B03-4E0E-BA2F-36651D990A2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A-8B03-4E0E-BA2F-36651D990A2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8B03-4E0E-BA2F-36651D990A2A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8B03-4E0E-BA2F-36651D990A2A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8B03-4E0E-BA2F-36651D990A2A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 2025'!$A$3:$A$10</c15:sqref>
                        </c15:formulaRef>
                      </c:ext>
                    </c:extLst>
                    <c:strCache>
                      <c:ptCount val="8"/>
                      <c:pt idx="0">
                        <c:v>Fuel</c:v>
                      </c:pt>
                      <c:pt idx="1">
                        <c:v>Food</c:v>
                      </c:pt>
                      <c:pt idx="2">
                        <c:v>Commuting</c:v>
                      </c:pt>
                      <c:pt idx="3">
                        <c:v>Stationeries</c:v>
                      </c:pt>
                      <c:pt idx="4">
                        <c:v>Shopping</c:v>
                      </c:pt>
                      <c:pt idx="5">
                        <c:v>Entertainment</c:v>
                      </c:pt>
                      <c:pt idx="6">
                        <c:v>Grooming</c:v>
                      </c:pt>
                      <c:pt idx="7">
                        <c:v>Miscellaneous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 2025'!$C$3:$C$10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3000</c:v>
                      </c:pt>
                      <c:pt idx="1">
                        <c:v>6000</c:v>
                      </c:pt>
                      <c:pt idx="2">
                        <c:v>7000</c:v>
                      </c:pt>
                      <c:pt idx="3">
                        <c:v>150</c:v>
                      </c:pt>
                      <c:pt idx="4">
                        <c:v>1000</c:v>
                      </c:pt>
                      <c:pt idx="5">
                        <c:v>500</c:v>
                      </c:pt>
                      <c:pt idx="6">
                        <c:v>400</c:v>
                      </c:pt>
                      <c:pt idx="7">
                        <c:v>2000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B03-4E0E-BA2F-36651D990A2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freepngimg.com/png/25565-money-bag-transparent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0</xdr:rowOff>
    </xdr:from>
    <xdr:to>
      <xdr:col>0</xdr:col>
      <xdr:colOff>388620</xdr:colOff>
      <xdr:row>1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7B6245-18F3-EE3F-E0D0-0656E1EBC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9060" y="0"/>
          <a:ext cx="289560" cy="289560"/>
        </a:xfrm>
        <a:prstGeom prst="rect">
          <a:avLst/>
        </a:prstGeom>
      </xdr:spPr>
    </xdr:pic>
    <xdr:clientData/>
  </xdr:twoCellAnchor>
  <xdr:oneCellAnchor>
    <xdr:from>
      <xdr:col>11</xdr:col>
      <xdr:colOff>730505</xdr:colOff>
      <xdr:row>24</xdr:row>
      <xdr:rowOff>296</xdr:rowOff>
    </xdr:from>
    <xdr:ext cx="100598" cy="23320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8C5A85-A0B6-ECBA-B70E-94B897064676}"/>
            </a:ext>
          </a:extLst>
        </xdr:cNvPr>
        <xdr:cNvSpPr txBox="1"/>
      </xdr:nvSpPr>
      <xdr:spPr>
        <a:xfrm>
          <a:off x="8449565" y="4503716"/>
          <a:ext cx="100598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4</xdr:col>
      <xdr:colOff>190500</xdr:colOff>
      <xdr:row>0</xdr:row>
      <xdr:rowOff>53340</xdr:rowOff>
    </xdr:from>
    <xdr:to>
      <xdr:col>4</xdr:col>
      <xdr:colOff>388620</xdr:colOff>
      <xdr:row>0</xdr:row>
      <xdr:rowOff>205740</xdr:rowOff>
    </xdr:to>
    <xdr:sp macro="" textlink="">
      <xdr:nvSpPr>
        <xdr:cNvPr id="7" name="Smiley Face 6">
          <a:extLst>
            <a:ext uri="{FF2B5EF4-FFF2-40B4-BE49-F238E27FC236}">
              <a16:creationId xmlns:a16="http://schemas.microsoft.com/office/drawing/2014/main" id="{55D31D9E-FD61-AD64-0BF5-885C8C81C27C}"/>
            </a:ext>
          </a:extLst>
        </xdr:cNvPr>
        <xdr:cNvSpPr/>
      </xdr:nvSpPr>
      <xdr:spPr>
        <a:xfrm>
          <a:off x="2765741" y="53340"/>
          <a:ext cx="198120" cy="152400"/>
        </a:xfrm>
        <a:prstGeom prst="smileyFace">
          <a:avLst>
            <a:gd name="adj" fmla="val -465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11</xdr:col>
      <xdr:colOff>251460</xdr:colOff>
      <xdr:row>15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C3136C-6C32-E41A-5546-21CEEEBE0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152400</xdr:rowOff>
    </xdr:from>
    <xdr:to>
      <xdr:col>5</xdr:col>
      <xdr:colOff>541020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0DEE4-52CD-7C12-6FEB-CA1CC504D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14</xdr:row>
      <xdr:rowOff>129540</xdr:rowOff>
    </xdr:from>
    <xdr:to>
      <xdr:col>10</xdr:col>
      <xdr:colOff>236220</xdr:colOff>
      <xdr:row>26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59113-3BEE-47A4-9DD3-28AD4B34B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205740</xdr:colOff>
      <xdr:row>14</xdr:row>
      <xdr:rowOff>129540</xdr:rowOff>
    </xdr:from>
    <xdr:to>
      <xdr:col>14</xdr:col>
      <xdr:colOff>426720</xdr:colOff>
      <xdr:row>26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FC5CB-3DD6-49DF-8F12-47B1A0F0F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E3CF4-3DEF-4F38-9CBB-979FCAF91EAD}" name="Table1" displayName="Table1" ref="A2:E15" totalsRowShown="0" headerRowDxfId="5">
  <autoFilter ref="A2:E15" xr:uid="{D98E3CF4-3DEF-4F38-9CBB-979FCAF91EAD}"/>
  <tableColumns count="5">
    <tableColumn id="1" xr3:uid="{C0744939-4042-4FC7-BD4F-49FB194BE2DE}" name="Expenses" dataDxfId="4"/>
    <tableColumn id="2" xr3:uid="{1AFBA4EC-357B-4EAD-B5B1-4B7BD5DAE905}" name="Jan" dataDxfId="3"/>
    <tableColumn id="3" xr3:uid="{46A392CD-C4C2-4E38-BC62-C78814D233A7}" name="Feb" dataDxfId="2"/>
    <tableColumn id="4" xr3:uid="{B4220EF9-304B-4CA6-8DD1-78352D3F72DE}" name="March" dataDxfId="1"/>
    <tableColumn id="5" xr3:uid="{015C7360-4409-4185-938D-8EC85E7BFC32}" name="Total" dataDxfId="0">
      <calculatedColumnFormula>SUM(Table1[[#This Row],[Jan]:[March]])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FB6C9F3-7A08-43BE-8725-9CB083BD36DF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D42A435-297A-4846-8069-4E7EA9967D7D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4231-8435-49B6-890E-A9B0D56D4BE4}">
  <sheetPr>
    <tabColor rgb="FF0070C0"/>
  </sheetPr>
  <dimension ref="A1:G15"/>
  <sheetViews>
    <sheetView tabSelected="1" zoomScaleNormal="100" workbookViewId="0">
      <selection activeCell="B12" sqref="B12"/>
    </sheetView>
  </sheetViews>
  <sheetFormatPr defaultColWidth="12.5546875" defaultRowHeight="14.4" x14ac:dyDescent="0.3"/>
  <cols>
    <col min="1" max="1" width="12.88671875" bestFit="1" customWidth="1"/>
    <col min="2" max="2" width="7.5546875" bestFit="1" customWidth="1"/>
    <col min="3" max="3" width="8" bestFit="1" customWidth="1"/>
    <col min="4" max="4" width="9.109375" bestFit="1" customWidth="1"/>
    <col min="5" max="5" width="8" bestFit="1" customWidth="1"/>
    <col min="7" max="7" width="8.77734375" bestFit="1" customWidth="1"/>
    <col min="8" max="8" width="8" bestFit="1" customWidth="1"/>
  </cols>
  <sheetData>
    <row r="1" spans="1:7" ht="21.6" thickBot="1" x14ac:dyDescent="0.45">
      <c r="A1" s="7" t="s">
        <v>0</v>
      </c>
      <c r="B1" s="8"/>
      <c r="C1" s="8"/>
      <c r="D1" s="8"/>
      <c r="E1" s="9"/>
    </row>
    <row r="2" spans="1:7" ht="16.2" thickTop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14</v>
      </c>
      <c r="G2" s="1"/>
    </row>
    <row r="3" spans="1:7" x14ac:dyDescent="0.3">
      <c r="A3" s="5" t="s">
        <v>5</v>
      </c>
      <c r="B3" s="3">
        <v>2500</v>
      </c>
      <c r="C3" s="3">
        <v>3000</v>
      </c>
      <c r="D3" s="3">
        <v>2200</v>
      </c>
      <c r="E3" s="2">
        <f>SUM(Table1[[#This Row],[Jan]:[March]])</f>
        <v>7700</v>
      </c>
      <c r="G3" s="1"/>
    </row>
    <row r="4" spans="1:7" x14ac:dyDescent="0.3">
      <c r="A4" s="5" t="s">
        <v>6</v>
      </c>
      <c r="B4" s="3">
        <v>3000</v>
      </c>
      <c r="C4" s="3">
        <v>6000</v>
      </c>
      <c r="D4" s="3">
        <v>3300</v>
      </c>
      <c r="E4" s="2">
        <f>SUM(Table1[[#This Row],[Jan]:[March]])</f>
        <v>12300</v>
      </c>
      <c r="G4" s="1"/>
    </row>
    <row r="5" spans="1:7" x14ac:dyDescent="0.3">
      <c r="A5" s="5" t="s">
        <v>7</v>
      </c>
      <c r="B5" s="3">
        <v>6500</v>
      </c>
      <c r="C5" s="3">
        <v>7000</v>
      </c>
      <c r="D5" s="3">
        <v>6300</v>
      </c>
      <c r="E5" s="2">
        <f>SUM(Table1[[#This Row],[Jan]:[March]])</f>
        <v>19800</v>
      </c>
    </row>
    <row r="6" spans="1:7" x14ac:dyDescent="0.3">
      <c r="A6" s="5" t="s">
        <v>8</v>
      </c>
      <c r="B6" s="3">
        <v>200</v>
      </c>
      <c r="C6" s="3">
        <v>150</v>
      </c>
      <c r="D6" s="3">
        <v>400</v>
      </c>
      <c r="E6" s="2">
        <f>SUM(Table1[[#This Row],[Jan]:[March]])</f>
        <v>750</v>
      </c>
    </row>
    <row r="7" spans="1:7" x14ac:dyDescent="0.3">
      <c r="A7" s="5" t="s">
        <v>9</v>
      </c>
      <c r="B7" s="3">
        <v>400</v>
      </c>
      <c r="C7" s="3">
        <v>1000</v>
      </c>
      <c r="D7" s="3">
        <v>600</v>
      </c>
      <c r="E7" s="2">
        <f>SUM(Table1[[#This Row],[Jan]:[March]])</f>
        <v>2000</v>
      </c>
    </row>
    <row r="8" spans="1:7" x14ac:dyDescent="0.3">
      <c r="A8" s="5" t="s">
        <v>10</v>
      </c>
      <c r="B8" s="3">
        <v>350</v>
      </c>
      <c r="C8" s="3">
        <v>500</v>
      </c>
      <c r="D8" s="3">
        <v>550</v>
      </c>
      <c r="E8" s="2">
        <f>SUM(Table1[[#This Row],[Jan]:[March]])</f>
        <v>1400</v>
      </c>
    </row>
    <row r="9" spans="1:7" x14ac:dyDescent="0.3">
      <c r="A9" s="5" t="s">
        <v>11</v>
      </c>
      <c r="B9" s="3">
        <v>300</v>
      </c>
      <c r="C9" s="3">
        <v>400</v>
      </c>
      <c r="D9" s="3">
        <v>500</v>
      </c>
      <c r="E9" s="2">
        <f>SUM(Table1[[#This Row],[Jan]:[March]])</f>
        <v>1200</v>
      </c>
    </row>
    <row r="10" spans="1:7" x14ac:dyDescent="0.3">
      <c r="A10" s="5" t="s">
        <v>12</v>
      </c>
      <c r="B10" s="3">
        <v>2000</v>
      </c>
      <c r="C10" s="3">
        <v>2000</v>
      </c>
      <c r="D10" s="3">
        <v>2000</v>
      </c>
      <c r="E10" s="2">
        <f>SUM(Table1[[#This Row],[Jan]:[March]])</f>
        <v>6000</v>
      </c>
    </row>
    <row r="11" spans="1:7" x14ac:dyDescent="0.3">
      <c r="A11" s="5" t="s">
        <v>13</v>
      </c>
      <c r="B11" s="2">
        <f>SUM(B3:B10)</f>
        <v>15250</v>
      </c>
      <c r="C11" s="2">
        <f t="shared" ref="C11" si="0">SUM(C3:C10)</f>
        <v>20050</v>
      </c>
      <c r="D11" s="2">
        <f>SUBTOTAL(109,D3:D10)</f>
        <v>15850</v>
      </c>
      <c r="E11" s="2">
        <f>SUM(Table1[[#This Row],[Jan]:[March]])</f>
        <v>51150</v>
      </c>
    </row>
    <row r="12" spans="1:7" x14ac:dyDescent="0.3">
      <c r="A12" s="5" t="s">
        <v>15</v>
      </c>
      <c r="B12" s="3">
        <f>MIN(B3:B10)</f>
        <v>200</v>
      </c>
      <c r="C12" s="3">
        <f t="shared" ref="C12:E12" si="1">MIN(C3:C10)</f>
        <v>150</v>
      </c>
      <c r="D12" s="3">
        <f t="shared" si="1"/>
        <v>400</v>
      </c>
      <c r="E12" s="2">
        <f t="shared" si="1"/>
        <v>750</v>
      </c>
    </row>
    <row r="13" spans="1:7" x14ac:dyDescent="0.3">
      <c r="A13" s="5" t="s">
        <v>16</v>
      </c>
      <c r="B13" s="3">
        <f>MAX(B3:B10)</f>
        <v>6500</v>
      </c>
      <c r="C13" s="3">
        <f t="shared" ref="C13:E13" si="2">MAX(C3:C10)</f>
        <v>7000</v>
      </c>
      <c r="D13" s="3">
        <f t="shared" si="2"/>
        <v>6300</v>
      </c>
      <c r="E13" s="2">
        <f t="shared" si="2"/>
        <v>19800</v>
      </c>
    </row>
    <row r="14" spans="1:7" x14ac:dyDescent="0.3">
      <c r="A14" s="5" t="s">
        <v>17</v>
      </c>
      <c r="B14" s="4">
        <f>AVERAGE(B3:B10)</f>
        <v>1906.25</v>
      </c>
      <c r="C14" s="3">
        <f t="shared" ref="C14:E14" si="3">AVERAGE(C3:C10)</f>
        <v>2506.25</v>
      </c>
      <c r="D14" s="3">
        <f t="shared" si="3"/>
        <v>1981.25</v>
      </c>
      <c r="E14" s="2">
        <f t="shared" si="3"/>
        <v>6393.75</v>
      </c>
    </row>
    <row r="15" spans="1:7" x14ac:dyDescent="0.3">
      <c r="A15" s="5" t="s">
        <v>18</v>
      </c>
      <c r="B15" s="3">
        <f>COUNT(B3:B10)</f>
        <v>8</v>
      </c>
      <c r="C15" s="3">
        <f t="shared" ref="C15:E15" si="4">COUNT(C3:C10)</f>
        <v>8</v>
      </c>
      <c r="D15" s="3">
        <f t="shared" si="4"/>
        <v>8</v>
      </c>
      <c r="E15" s="2">
        <f t="shared" si="4"/>
        <v>8</v>
      </c>
    </row>
  </sheetData>
  <mergeCells count="1">
    <mergeCell ref="A1:E1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V</dc:creator>
  <cp:lastModifiedBy>Adithya V</cp:lastModifiedBy>
  <dcterms:created xsi:type="dcterms:W3CDTF">2025-12-10T03:12:50Z</dcterms:created>
  <dcterms:modified xsi:type="dcterms:W3CDTF">2025-12-19T00:09:21Z</dcterms:modified>
</cp:coreProperties>
</file>
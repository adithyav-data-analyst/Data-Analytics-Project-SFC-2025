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MBA\GIT HUB\EXCEL\"/>
    </mc:Choice>
  </mc:AlternateContent>
  <xr:revisionPtr revIDLastSave="0" documentId="8_{08FBE451-801F-44B6-B06E-86B0227D32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atting Sales Data" sheetId="7" r:id="rId1"/>
    <sheet name="Column Chart for weekly Sales" sheetId="8" r:id="rId2"/>
    <sheet name="Sales Data Template" sheetId="9" r:id="rId3"/>
  </sheets>
  <definedNames>
    <definedName name="Ord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B7" i="9"/>
  <c r="C7" i="9"/>
  <c r="D7" i="9"/>
  <c r="E7" i="9"/>
  <c r="B9" i="9"/>
  <c r="C9" i="9"/>
  <c r="D9" i="9"/>
  <c r="E9" i="9"/>
  <c r="B10" i="9"/>
  <c r="C10" i="9"/>
  <c r="D10" i="9"/>
  <c r="E10" i="9"/>
  <c r="B11" i="9"/>
  <c r="C11" i="9"/>
  <c r="D11" i="9"/>
  <c r="E11" i="9"/>
  <c r="C10" i="7"/>
  <c r="D10" i="7"/>
  <c r="E10" i="7"/>
  <c r="B10" i="7"/>
  <c r="C9" i="7"/>
  <c r="D9" i="7"/>
  <c r="E9" i="7"/>
  <c r="B9" i="7"/>
  <c r="C8" i="7"/>
  <c r="D8" i="7"/>
  <c r="E8" i="7"/>
  <c r="B8" i="7"/>
  <c r="C7" i="7"/>
  <c r="D7" i="7"/>
  <c r="E7" i="7"/>
  <c r="B7" i="7"/>
  <c r="F3" i="7"/>
  <c r="F4" i="7"/>
  <c r="F5" i="7"/>
  <c r="F6" i="7"/>
  <c r="F9" i="9" l="1"/>
  <c r="F11" i="9"/>
  <c r="F7" i="9"/>
  <c r="G7" i="9" s="1"/>
  <c r="F10" i="9"/>
  <c r="F7" i="7"/>
  <c r="G3" i="7" s="1"/>
  <c r="G4" i="7" l="1"/>
  <c r="G6" i="7"/>
  <c r="G5" i="7"/>
  <c r="G3" i="9"/>
  <c r="G6" i="9"/>
  <c r="G5" i="9"/>
  <c r="G4" i="9"/>
  <c r="G10" i="9" l="1"/>
  <c r="G11" i="9"/>
  <c r="G9" i="9"/>
</calcChain>
</file>

<file path=xl/sharedStrings.xml><?xml version="1.0" encoding="utf-8"?>
<sst xmlns="http://schemas.openxmlformats.org/spreadsheetml/2006/main" count="41" uniqueCount="17">
  <si>
    <t>Sales Person</t>
  </si>
  <si>
    <t>Week 1</t>
  </si>
  <si>
    <t>Week 2</t>
  </si>
  <si>
    <t>Week 3</t>
  </si>
  <si>
    <t>Week 4</t>
  </si>
  <si>
    <t>Total Sales</t>
  </si>
  <si>
    <t>Percentage of sales</t>
  </si>
  <si>
    <t>Michael</t>
  </si>
  <si>
    <t>Sara</t>
  </si>
  <si>
    <t>Laura</t>
  </si>
  <si>
    <t>Anna</t>
  </si>
  <si>
    <t>Total Week Sales</t>
  </si>
  <si>
    <t>Average</t>
  </si>
  <si>
    <t>Min</t>
  </si>
  <si>
    <t>Max</t>
  </si>
  <si>
    <t>SALES DATA</t>
  </si>
  <si>
    <t xml:space="preserve">TEMPLATE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</si>
</sst>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0.000"/>
    <numFmt numFmtId="167" formatCode="_-[$$-C09]* #,##0.00_-;\-[$$-C09]* #,##0.00_-;_-[$$-C09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4" fillId="0" borderId="0" xfId="0" applyFont="1"/>
    <xf numFmtId="0" fontId="4" fillId="4" borderId="4" xfId="0" applyFont="1" applyFill="1" applyBorder="1"/>
    <xf numFmtId="164" fontId="0" fillId="0" borderId="0" xfId="1" applyFont="1" applyBorder="1"/>
    <xf numFmtId="165" fontId="0" fillId="0" borderId="0" xfId="2" applyFont="1" applyBorder="1"/>
    <xf numFmtId="9" fontId="0" fillId="0" borderId="5" xfId="3" applyFont="1" applyBorder="1"/>
    <xf numFmtId="0" fontId="4" fillId="4" borderId="6" xfId="0" applyFont="1" applyFill="1" applyBorder="1"/>
    <xf numFmtId="165" fontId="0" fillId="0" borderId="7" xfId="2" applyFont="1" applyBorder="1"/>
    <xf numFmtId="9" fontId="0" fillId="0" borderId="8" xfId="3" applyFont="1" applyBorder="1"/>
    <xf numFmtId="0" fontId="4" fillId="4" borderId="1" xfId="0" applyFont="1" applyFill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5" fillId="5" borderId="1" xfId="0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165" fontId="0" fillId="0" borderId="0" xfId="1" applyNumberFormat="1" applyFont="1" applyBorder="1"/>
    <xf numFmtId="165" fontId="0" fillId="0" borderId="5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0" fontId="7" fillId="6" borderId="11" xfId="0" applyFont="1" applyFill="1" applyBorder="1"/>
    <xf numFmtId="10" fontId="8" fillId="0" borderId="11" xfId="3" applyNumberFormat="1" applyFont="1" applyBorder="1"/>
    <xf numFmtId="10" fontId="8" fillId="0" borderId="11" xfId="0" applyNumberFormat="1" applyFont="1" applyBorder="1"/>
    <xf numFmtId="9" fontId="8" fillId="0" borderId="11" xfId="0" applyNumberFormat="1" applyFont="1" applyBorder="1"/>
    <xf numFmtId="166" fontId="8" fillId="8" borderId="0" xfId="0" applyNumberFormat="1" applyFont="1" applyFill="1"/>
    <xf numFmtId="0" fontId="0" fillId="5" borderId="13" xfId="0" applyFill="1" applyBorder="1"/>
    <xf numFmtId="167" fontId="8" fillId="0" borderId="11" xfId="1" applyNumberFormat="1" applyFont="1" applyBorder="1"/>
    <xf numFmtId="167" fontId="8" fillId="8" borderId="0" xfId="1" applyNumberFormat="1" applyFont="1" applyFill="1" applyBorder="1"/>
    <xf numFmtId="0" fontId="1" fillId="0" borderId="0" xfId="0" applyFont="1"/>
    <xf numFmtId="0" fontId="10" fillId="7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[$$-C09]* #,##0.00_-;\-[$$-C09]* #,##0.00_-;_-[$$-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[$$-C09]* #,##0.00_-;\-[$$-C09]* #,##0.00_-;_-[$$-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[$$-C09]* #,##0.00_-;\-[$$-C09]* #,##0.00_-;_-[$$-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[$$-C09]* #,##0.00_-;\-[$$-C09]* #,##0.00_-;_-[$$-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[$$-C09]* #,##0.00_-;\-[$$-C09]* #,##0.00_-;_-[$$-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ill>
        <patternFill patternType="solid">
          <fgColor indexed="64"/>
          <bgColor theme="8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Weekly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for weekly Sales'!$A$3</c:f>
              <c:strCache>
                <c:ptCount val="1"/>
                <c:pt idx="0">
                  <c:v>Michael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 for weekly Sales'!$B$2:$E$2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 for weekly Sales'!$B$3:$E$3</c:f>
              <c:numCache>
                <c:formatCode>_("$"* #,##0.00_);_("$"* \(#,##0.00\);_("$"* "-"??_);_(@_)</c:formatCode>
                <c:ptCount val="4"/>
                <c:pt idx="0">
                  <c:v>2500</c:v>
                </c:pt>
                <c:pt idx="1">
                  <c:v>3075</c:v>
                </c:pt>
                <c:pt idx="2">
                  <c:v>1850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D-422B-BBE3-F2B98BBF8F16}"/>
            </c:ext>
          </c:extLst>
        </c:ser>
        <c:ser>
          <c:idx val="1"/>
          <c:order val="1"/>
          <c:tx>
            <c:strRef>
              <c:f>'Column Chart for weekly Sales'!$A$4</c:f>
              <c:strCache>
                <c:ptCount val="1"/>
                <c:pt idx="0">
                  <c:v>Sara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 for weekly Sales'!$B$2:$E$2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 for weekly Sales'!$B$4:$E$4</c:f>
              <c:numCache>
                <c:formatCode>_("$"* #,##0.00_);_("$"* \(#,##0.00\);_("$"* "-"??_);_(@_)</c:formatCode>
                <c:ptCount val="4"/>
                <c:pt idx="0">
                  <c:v>3025</c:v>
                </c:pt>
                <c:pt idx="1">
                  <c:v>3500</c:v>
                </c:pt>
                <c:pt idx="2">
                  <c:v>2500</c:v>
                </c:pt>
                <c:pt idx="3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D-422B-BBE3-F2B98BBF8F16}"/>
            </c:ext>
          </c:extLst>
        </c:ser>
        <c:ser>
          <c:idx val="2"/>
          <c:order val="2"/>
          <c:tx>
            <c:strRef>
              <c:f>'Column Chart for weekly Sales'!$A$5</c:f>
              <c:strCache>
                <c:ptCount val="1"/>
                <c:pt idx="0">
                  <c:v>Laura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 for weekly Sales'!$B$2:$E$2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 for weekly Sales'!$B$5:$E$5</c:f>
              <c:numCache>
                <c:formatCode>_("$"* #,##0.00_);_("$"* \(#,##0.00\);_("$"* "-"??_);_(@_)</c:formatCode>
                <c:ptCount val="4"/>
                <c:pt idx="0">
                  <c:v>1750</c:v>
                </c:pt>
                <c:pt idx="1">
                  <c:v>3750</c:v>
                </c:pt>
                <c:pt idx="2">
                  <c:v>2750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FD-422B-BBE3-F2B98BBF8F16}"/>
            </c:ext>
          </c:extLst>
        </c:ser>
        <c:ser>
          <c:idx val="3"/>
          <c:order val="3"/>
          <c:tx>
            <c:strRef>
              <c:f>'Column Chart for weekly Sales'!$A$6</c:f>
              <c:strCache>
                <c:ptCount val="1"/>
                <c:pt idx="0">
                  <c:v>Anna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 for weekly Sales'!$B$2:$E$2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 for weekly Sales'!$B$6:$E$6</c:f>
              <c:numCache>
                <c:formatCode>_("$"* #,##0.00_);_("$"* \(#,##0.00\);_("$"* "-"??_);_(@_)</c:formatCode>
                <c:ptCount val="4"/>
                <c:pt idx="0">
                  <c:v>3500</c:v>
                </c:pt>
                <c:pt idx="1">
                  <c:v>2000</c:v>
                </c:pt>
                <c:pt idx="2">
                  <c:v>1500</c:v>
                </c:pt>
                <c:pt idx="3">
                  <c:v>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FD-422B-BBE3-F2B98BBF8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0702799"/>
        <c:axId val="1620699919"/>
      </c:barChart>
      <c:catAx>
        <c:axId val="16207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699919"/>
        <c:crosses val="autoZero"/>
        <c:auto val="1"/>
        <c:lblAlgn val="ctr"/>
        <c:lblOffset val="100"/>
        <c:noMultiLvlLbl val="0"/>
      </c:catAx>
      <c:valAx>
        <c:axId val="16206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0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'Column Chart for weekly Sales'!$C$2</c:f>
              <c:strCache>
                <c:ptCount val="1"/>
                <c:pt idx="0">
                  <c:v>Week 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63-491C-BBC3-863C883BC3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63-491C-BBC3-863C883BC3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63-491C-BBC3-863C883BC3D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63-491C-BBC3-863C883BC3D9}"/>
              </c:ext>
            </c:extLst>
          </c:dPt>
          <c:cat>
            <c:strRef>
              <c:f>'Column Chart for weekly Sales'!$A$3:$A$6</c:f>
              <c:strCache>
                <c:ptCount val="4"/>
                <c:pt idx="0">
                  <c:v>Michael</c:v>
                </c:pt>
                <c:pt idx="1">
                  <c:v>Sara</c:v>
                </c:pt>
                <c:pt idx="2">
                  <c:v>Laura</c:v>
                </c:pt>
                <c:pt idx="3">
                  <c:v>Anna</c:v>
                </c:pt>
              </c:strCache>
            </c:strRef>
          </c:cat>
          <c:val>
            <c:numRef>
              <c:f>'Column Chart for weekly Sales'!$C$3:$C$6</c:f>
              <c:numCache>
                <c:formatCode>_("$"* #,##0.00_);_("$"* \(#,##0.00\);_("$"* "-"??_);_(@_)</c:formatCode>
                <c:ptCount val="4"/>
                <c:pt idx="0">
                  <c:v>3075</c:v>
                </c:pt>
                <c:pt idx="1">
                  <c:v>3500</c:v>
                </c:pt>
                <c:pt idx="2">
                  <c:v>3750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E-460C-B7EB-3ADDC00AF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math239.planetmath.org/what-is-the-sales-tax-on-vehicles-in-texas.html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821634</xdr:colOff>
      <xdr:row>0</xdr:row>
      <xdr:rowOff>615360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CA553D-2895-E44C-2FA0-9FE42ADE3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0" y="0"/>
          <a:ext cx="821634" cy="615360"/>
        </a:xfrm>
        <a:prstGeom prst="rect">
          <a:avLst/>
        </a:prstGeom>
      </xdr:spPr>
    </xdr:pic>
    <xdr:clientData/>
  </xdr:twoCellAnchor>
  <xdr:twoCellAnchor editAs="oneCell">
    <xdr:from>
      <xdr:col>6</xdr:col>
      <xdr:colOff>569844</xdr:colOff>
      <xdr:row>0</xdr:row>
      <xdr:rowOff>1</xdr:rowOff>
    </xdr:from>
    <xdr:to>
      <xdr:col>6</xdr:col>
      <xdr:colOff>1152940</xdr:colOff>
      <xdr:row>0</xdr:row>
      <xdr:rowOff>583097</xdr:rowOff>
    </xdr:to>
    <xdr:pic>
      <xdr:nvPicPr>
        <xdr:cNvPr id="10" name="Graphic 9" descr="Dollar with solid fill">
          <a:extLst>
            <a:ext uri="{FF2B5EF4-FFF2-40B4-BE49-F238E27FC236}">
              <a16:creationId xmlns:a16="http://schemas.microsoft.com/office/drawing/2014/main" id="{88718AAA-094B-1C56-0727-11EF6EB83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221357" y="1"/>
          <a:ext cx="583096" cy="583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34160</xdr:colOff>
      <xdr:row>0</xdr:row>
      <xdr:rowOff>197069</xdr:rowOff>
    </xdr:from>
    <xdr:to>
      <xdr:col>11</xdr:col>
      <xdr:colOff>199698</xdr:colOff>
      <xdr:row>11</xdr:row>
      <xdr:rowOff>99848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2DF75A-4DE3-4BF5-34F0-13DD217D1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7882</xdr:colOff>
      <xdr:row>6</xdr:row>
      <xdr:rowOff>26274</xdr:rowOff>
    </xdr:from>
    <xdr:to>
      <xdr:col>5</xdr:col>
      <xdr:colOff>5255</xdr:colOff>
      <xdr:row>16</xdr:row>
      <xdr:rowOff>42041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A872C9-8178-4383-9903-7775BA964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94A23-5FCE-45C5-A7E5-2160CDB2ACBD}" name="Table1" displayName="Table1" ref="A2:G10" totalsRowShown="0" headerRowDxfId="10" dataDxfId="9">
  <autoFilter ref="A2:G10" xr:uid="{DEB94A23-5FCE-45C5-A7E5-2160CDB2ACBD}"/>
  <tableColumns count="7">
    <tableColumn id="1" xr3:uid="{884727BD-46FE-4D08-9D0B-04EA6DEB8B02}" name="Sales Person" dataDxfId="8"/>
    <tableColumn id="2" xr3:uid="{970E5E0A-F884-438C-80F5-F6AABCFC514B}" name="Week 1" dataDxfId="7" dataCellStyle="Comma"/>
    <tableColumn id="3" xr3:uid="{F190729C-BF87-4461-B58F-D9E7AB422B75}" name="Week 2" dataDxfId="6" dataCellStyle="Comma"/>
    <tableColumn id="4" xr3:uid="{98F5D066-548C-4D1E-A94E-2682EBB19D99}" name="Week 3" dataDxfId="5" dataCellStyle="Comma"/>
    <tableColumn id="5" xr3:uid="{558D7B15-3FFE-4A2C-80B1-30456508C7C0}" name="Week 4" dataDxfId="4" dataCellStyle="Comma"/>
    <tableColumn id="6" xr3:uid="{38917496-741C-4897-92B3-BE084C556947}" name="Total Sales" dataDxfId="3" dataCellStyle="Comma"/>
    <tableColumn id="7" xr3:uid="{B00400B7-2A17-4D88-A4D6-BF543B62F01A}" name="Percentage of 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101E77-AAD2-49AD-B3D5-EC3CF29545BE}">
  <we:reference id="wa200004935" version="6.0.0.0" store="en-US" storeType="OMEX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A460-5150-4285-8515-180892AFD9FD}">
  <dimension ref="A1:I10"/>
  <sheetViews>
    <sheetView tabSelected="1" zoomScale="115" zoomScaleNormal="115" workbookViewId="0">
      <selection activeCell="J4" sqref="J4"/>
    </sheetView>
  </sheetViews>
  <sheetFormatPr defaultColWidth="9" defaultRowHeight="14.4"/>
  <cols>
    <col min="1" max="1" width="17.88671875" bestFit="1" customWidth="1"/>
    <col min="2" max="3" width="13.109375" bestFit="1" customWidth="1"/>
    <col min="4" max="4" width="11.88671875" bestFit="1" customWidth="1"/>
    <col min="5" max="6" width="13.109375" bestFit="1" customWidth="1"/>
    <col min="7" max="7" width="19.5546875" bestFit="1" customWidth="1"/>
  </cols>
  <sheetData>
    <row r="1" spans="1:9" ht="48.6" customHeight="1" thickBot="1">
      <c r="A1" s="35" t="s">
        <v>15</v>
      </c>
      <c r="B1" s="35"/>
      <c r="C1" s="35"/>
      <c r="D1" s="35"/>
      <c r="E1" s="35"/>
      <c r="F1" s="35"/>
      <c r="G1" s="35"/>
    </row>
    <row r="2" spans="1:9" ht="15" thickTop="1">
      <c r="A2" s="3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</row>
    <row r="3" spans="1:9">
      <c r="A3" s="26" t="s">
        <v>7</v>
      </c>
      <c r="B3" s="32">
        <v>2500</v>
      </c>
      <c r="C3" s="32">
        <v>3075</v>
      </c>
      <c r="D3" s="32">
        <v>1850</v>
      </c>
      <c r="E3" s="32">
        <v>3500</v>
      </c>
      <c r="F3" s="32">
        <f>SUM(Table1[[#This Row],[Week 1]:[Week 4]])</f>
        <v>10925</v>
      </c>
      <c r="G3" s="27">
        <f>Table1[[#This Row],[Total Sales]]/$F$7</f>
        <v>0.249002849002849</v>
      </c>
    </row>
    <row r="4" spans="1:9">
      <c r="A4" s="26" t="s">
        <v>8</v>
      </c>
      <c r="B4" s="32">
        <v>3025</v>
      </c>
      <c r="C4" s="32">
        <v>3500</v>
      </c>
      <c r="D4" s="32">
        <v>2500</v>
      </c>
      <c r="E4" s="32">
        <v>1650</v>
      </c>
      <c r="F4" s="32">
        <f>SUM(Table1[[#This Row],[Week 1]:[Week 4]])</f>
        <v>10675</v>
      </c>
      <c r="G4" s="28">
        <f>Table1[[#This Row],[Total Sales]]/$F$7</f>
        <v>0.24330484330484331</v>
      </c>
    </row>
    <row r="5" spans="1:9">
      <c r="A5" s="26" t="s">
        <v>9</v>
      </c>
      <c r="B5" s="32">
        <v>1750</v>
      </c>
      <c r="C5" s="32">
        <v>3750</v>
      </c>
      <c r="D5" s="32">
        <v>2750</v>
      </c>
      <c r="E5" s="32">
        <v>4000</v>
      </c>
      <c r="F5" s="32">
        <f>SUM(Table1[[#This Row],[Week 1]:[Week 4]])</f>
        <v>12250</v>
      </c>
      <c r="G5" s="28">
        <f>Table1[[#This Row],[Total Sales]]/$F$7</f>
        <v>0.27920227920227919</v>
      </c>
    </row>
    <row r="6" spans="1:9">
      <c r="A6" s="26" t="s">
        <v>10</v>
      </c>
      <c r="B6" s="32">
        <v>3500</v>
      </c>
      <c r="C6" s="32">
        <v>2000</v>
      </c>
      <c r="D6" s="32">
        <v>1500</v>
      </c>
      <c r="E6" s="32">
        <v>3025</v>
      </c>
      <c r="F6" s="32">
        <f>SUM(Table1[[#This Row],[Week 1]:[Week 4]])</f>
        <v>10025</v>
      </c>
      <c r="G6" s="28">
        <f>Table1[[#This Row],[Total Sales]]/$F$7</f>
        <v>0.2284900284900285</v>
      </c>
      <c r="I6" s="34"/>
    </row>
    <row r="7" spans="1:9">
      <c r="A7" s="26" t="s">
        <v>11</v>
      </c>
      <c r="B7" s="32">
        <f>SUBTOTAL(109,B3:B6)</f>
        <v>10775</v>
      </c>
      <c r="C7" s="32">
        <f t="shared" ref="C7:E7" si="0">SUBTOTAL(109,C3:C6)</f>
        <v>12325</v>
      </c>
      <c r="D7" s="32">
        <f t="shared" si="0"/>
        <v>8600</v>
      </c>
      <c r="E7" s="32">
        <f t="shared" si="0"/>
        <v>12175</v>
      </c>
      <c r="F7" s="32">
        <f>SUBTOTAL(109,F3:F6)</f>
        <v>43875</v>
      </c>
      <c r="G7" s="29"/>
    </row>
    <row r="8" spans="1:9">
      <c r="A8" s="26" t="s">
        <v>12</v>
      </c>
      <c r="B8" s="32">
        <f>AVERAGE(B3:B6)</f>
        <v>2693.75</v>
      </c>
      <c r="C8" s="32">
        <f t="shared" ref="C8:E8" si="1">AVERAGE(C3:C6)</f>
        <v>3081.25</v>
      </c>
      <c r="D8" s="32">
        <f t="shared" si="1"/>
        <v>2150</v>
      </c>
      <c r="E8" s="32">
        <f t="shared" si="1"/>
        <v>3043.75</v>
      </c>
      <c r="F8" s="33"/>
      <c r="G8" s="30"/>
    </row>
    <row r="9" spans="1:9">
      <c r="A9" s="26" t="s">
        <v>13</v>
      </c>
      <c r="B9" s="32">
        <f>MIN(B3:B6)</f>
        <v>1750</v>
      </c>
      <c r="C9" s="32">
        <f t="shared" ref="C9:E9" si="2">MIN(C3:C6)</f>
        <v>2000</v>
      </c>
      <c r="D9" s="32">
        <f t="shared" si="2"/>
        <v>1500</v>
      </c>
      <c r="E9" s="32">
        <f t="shared" si="2"/>
        <v>1650</v>
      </c>
      <c r="F9" s="33"/>
      <c r="G9" s="30"/>
    </row>
    <row r="10" spans="1:9">
      <c r="A10" s="26" t="s">
        <v>14</v>
      </c>
      <c r="B10" s="32">
        <f>MAX(B3:B6)</f>
        <v>3500</v>
      </c>
      <c r="C10" s="32">
        <f t="shared" ref="C10:E10" si="3">MAX(C3:C6)</f>
        <v>3750</v>
      </c>
      <c r="D10" s="32">
        <f t="shared" si="3"/>
        <v>2750</v>
      </c>
      <c r="E10" s="32">
        <f t="shared" si="3"/>
        <v>4000</v>
      </c>
      <c r="F10" s="33"/>
      <c r="G10" s="30"/>
    </row>
  </sheetData>
  <mergeCells count="1">
    <mergeCell ref="A1:G1"/>
  </mergeCells>
  <conditionalFormatting sqref="B3:E6">
    <cfRule type="cellIs" dxfId="1" priority="1" operator="lessThan">
      <formula>2000</formula>
    </cfRule>
    <cfRule type="cellIs" dxfId="0" priority="2" operator="greaterThan">
      <formula>3000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FDA3-1B81-449A-A4B7-96676F05C2CD}">
  <dimension ref="A1:H6"/>
  <sheetViews>
    <sheetView zoomScale="145" zoomScaleNormal="145" workbookViewId="0">
      <selection activeCell="G14" sqref="G14"/>
    </sheetView>
  </sheetViews>
  <sheetFormatPr defaultColWidth="9" defaultRowHeight="14.4"/>
  <cols>
    <col min="1" max="1" width="12.6640625" customWidth="1"/>
    <col min="2" max="5" width="10.6640625" customWidth="1"/>
  </cols>
  <sheetData>
    <row r="1" spans="1:8" ht="24" thickBot="1">
      <c r="B1" s="36"/>
      <c r="C1" s="36"/>
      <c r="D1" s="36"/>
      <c r="E1" s="36"/>
      <c r="F1" s="36"/>
      <c r="G1" s="36"/>
      <c r="H1" s="36"/>
    </row>
    <row r="2" spans="1:8" ht="15.6">
      <c r="A2" s="19" t="s">
        <v>0</v>
      </c>
      <c r="B2" s="20" t="s">
        <v>1</v>
      </c>
      <c r="C2" s="20" t="s">
        <v>2</v>
      </c>
      <c r="D2" s="20" t="s">
        <v>3</v>
      </c>
      <c r="E2" s="21" t="s">
        <v>4</v>
      </c>
    </row>
    <row r="3" spans="1:8" ht="15.6">
      <c r="A3" s="5" t="s">
        <v>7</v>
      </c>
      <c r="B3" s="22">
        <v>2500</v>
      </c>
      <c r="C3" s="22">
        <v>3075</v>
      </c>
      <c r="D3" s="22">
        <v>1850</v>
      </c>
      <c r="E3" s="23">
        <v>3500</v>
      </c>
    </row>
    <row r="4" spans="1:8" ht="15.6">
      <c r="A4" s="5" t="s">
        <v>8</v>
      </c>
      <c r="B4" s="22">
        <v>3025</v>
      </c>
      <c r="C4" s="22">
        <v>3500</v>
      </c>
      <c r="D4" s="22">
        <v>2500</v>
      </c>
      <c r="E4" s="23">
        <v>1650</v>
      </c>
    </row>
    <row r="5" spans="1:8" ht="15.6">
      <c r="A5" s="5" t="s">
        <v>9</v>
      </c>
      <c r="B5" s="22">
        <v>1750</v>
      </c>
      <c r="C5" s="22">
        <v>3750</v>
      </c>
      <c r="D5" s="22">
        <v>2750</v>
      </c>
      <c r="E5" s="23">
        <v>4000</v>
      </c>
    </row>
    <row r="6" spans="1:8" ht="16.2" thickBot="1">
      <c r="A6" s="9" t="s">
        <v>10</v>
      </c>
      <c r="B6" s="24">
        <v>3500</v>
      </c>
      <c r="C6" s="24">
        <v>2000</v>
      </c>
      <c r="D6" s="24">
        <v>1500</v>
      </c>
      <c r="E6" s="25">
        <v>3025</v>
      </c>
    </row>
  </sheetData>
  <mergeCells count="1">
    <mergeCell ref="B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B862-ABF3-409F-A5C2-3B9119FC9B12}">
  <dimension ref="A1:H11"/>
  <sheetViews>
    <sheetView zoomScale="130" zoomScaleNormal="130" workbookViewId="0">
      <selection activeCell="F17" sqref="F17"/>
    </sheetView>
  </sheetViews>
  <sheetFormatPr defaultColWidth="9" defaultRowHeight="14.4"/>
  <cols>
    <col min="1" max="1" width="16.88671875" customWidth="1"/>
    <col min="2" max="3" width="12.33203125" customWidth="1"/>
    <col min="4" max="4" width="11.109375" customWidth="1"/>
    <col min="5" max="6" width="12.33203125" customWidth="1"/>
    <col min="7" max="7" width="19.109375" customWidth="1"/>
  </cols>
  <sheetData>
    <row r="1" spans="1:8" ht="24" thickBot="1">
      <c r="A1" s="37" t="s">
        <v>16</v>
      </c>
      <c r="B1" s="38"/>
      <c r="C1" s="38"/>
      <c r="D1" s="38"/>
      <c r="E1" s="38"/>
      <c r="F1" s="38"/>
      <c r="G1" s="38"/>
    </row>
    <row r="2" spans="1:8" ht="15.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8" ht="15.6">
      <c r="A3" s="5" t="s">
        <v>7</v>
      </c>
      <c r="B3" s="6"/>
      <c r="C3" s="6"/>
      <c r="D3" s="6"/>
      <c r="E3" s="6"/>
      <c r="F3" s="7">
        <f>SUM(B3:E3)</f>
        <v>0</v>
      </c>
      <c r="G3" s="8" t="e">
        <f>F3/$F$7</f>
        <v>#DIV/0!</v>
      </c>
    </row>
    <row r="4" spans="1:8" ht="15.6">
      <c r="A4" s="5" t="s">
        <v>8</v>
      </c>
      <c r="B4" s="6"/>
      <c r="C4" s="6"/>
      <c r="D4" s="6"/>
      <c r="E4" s="6"/>
      <c r="F4" s="7">
        <f t="shared" ref="F4:F7" si="0">SUM(B4:E4)</f>
        <v>0</v>
      </c>
      <c r="G4" s="8" t="e">
        <f>F4/$F$7</f>
        <v>#DIV/0!</v>
      </c>
    </row>
    <row r="5" spans="1:8" ht="15.6">
      <c r="A5" s="5" t="s">
        <v>9</v>
      </c>
      <c r="B5" s="6"/>
      <c r="C5" s="6"/>
      <c r="D5" s="6"/>
      <c r="E5" s="6"/>
      <c r="F5" s="7">
        <f t="shared" si="0"/>
        <v>0</v>
      </c>
      <c r="G5" s="8" t="e">
        <f>F5/$F$7</f>
        <v>#DIV/0!</v>
      </c>
    </row>
    <row r="6" spans="1:8" ht="15.6">
      <c r="A6" s="5" t="s">
        <v>10</v>
      </c>
      <c r="B6" s="6"/>
      <c r="C6" s="6"/>
      <c r="D6" s="6"/>
      <c r="E6" s="6"/>
      <c r="F6" s="7">
        <f t="shared" si="0"/>
        <v>0</v>
      </c>
      <c r="G6" s="8" t="e">
        <f>F6/$F$7</f>
        <v>#DIV/0!</v>
      </c>
    </row>
    <row r="7" spans="1:8" ht="16.2" thickBot="1">
      <c r="A7" s="9" t="s">
        <v>11</v>
      </c>
      <c r="B7" s="10">
        <f>SUM(B3:B6)</f>
        <v>0</v>
      </c>
      <c r="C7" s="10">
        <f t="shared" ref="C7:E7" si="1">SUM(C3:C6)</f>
        <v>0</v>
      </c>
      <c r="D7" s="10">
        <f t="shared" si="1"/>
        <v>0</v>
      </c>
      <c r="E7" s="10">
        <f t="shared" si="1"/>
        <v>0</v>
      </c>
      <c r="F7" s="10">
        <f t="shared" si="0"/>
        <v>0</v>
      </c>
      <c r="G7" s="11" t="e">
        <f>F7/$F$7</f>
        <v>#DIV/0!</v>
      </c>
    </row>
    <row r="8" spans="1:8" ht="16.2" thickBot="1">
      <c r="H8" s="4"/>
    </row>
    <row r="9" spans="1:8" ht="15.6">
      <c r="A9" s="12" t="s">
        <v>12</v>
      </c>
      <c r="B9" s="13" t="e">
        <f>AVERAGE(B3:B6)</f>
        <v>#DIV/0!</v>
      </c>
      <c r="C9" s="13" t="e">
        <f t="shared" ref="C9:G9" si="2">AVERAGE(C3:C6)</f>
        <v>#DIV/0!</v>
      </c>
      <c r="D9" s="13" t="e">
        <f t="shared" si="2"/>
        <v>#DIV/0!</v>
      </c>
      <c r="E9" s="13" t="e">
        <f t="shared" si="2"/>
        <v>#DIV/0!</v>
      </c>
      <c r="F9" s="13">
        <f t="shared" si="2"/>
        <v>0</v>
      </c>
      <c r="G9" s="14" t="e">
        <f t="shared" si="2"/>
        <v>#DIV/0!</v>
      </c>
    </row>
    <row r="10" spans="1:8" ht="15.6">
      <c r="A10" s="5" t="s">
        <v>13</v>
      </c>
      <c r="B10" s="15">
        <f>MIN(B3:B6)</f>
        <v>0</v>
      </c>
      <c r="C10" s="15">
        <f t="shared" ref="C10:G10" si="3">MIN(C3:C6)</f>
        <v>0</v>
      </c>
      <c r="D10" s="15">
        <f t="shared" si="3"/>
        <v>0</v>
      </c>
      <c r="E10" s="15">
        <f t="shared" si="3"/>
        <v>0</v>
      </c>
      <c r="F10" s="15">
        <f t="shared" si="3"/>
        <v>0</v>
      </c>
      <c r="G10" s="16" t="e">
        <f t="shared" si="3"/>
        <v>#DIV/0!</v>
      </c>
    </row>
    <row r="11" spans="1:8" ht="16.2" thickBot="1">
      <c r="A11" s="9" t="s">
        <v>14</v>
      </c>
      <c r="B11" s="17">
        <f>MAX(B3:B6)</f>
        <v>0</v>
      </c>
      <c r="C11" s="17">
        <f t="shared" ref="C11:G11" si="4">MAX(C3:C6)</f>
        <v>0</v>
      </c>
      <c r="D11" s="17">
        <f t="shared" si="4"/>
        <v>0</v>
      </c>
      <c r="E11" s="17">
        <f t="shared" si="4"/>
        <v>0</v>
      </c>
      <c r="F11" s="17">
        <f t="shared" si="4"/>
        <v>0</v>
      </c>
      <c r="G11" s="18" t="e">
        <f t="shared" si="4"/>
        <v>#DIV/0!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 Sales Data</vt:lpstr>
      <vt:lpstr>Column Chart for weekly Sales</vt:lpstr>
      <vt:lpstr>Sales Data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V</dc:creator>
  <cp:lastModifiedBy>Adithya V</cp:lastModifiedBy>
  <dcterms:created xsi:type="dcterms:W3CDTF">2021-09-01T19:38:00Z</dcterms:created>
  <dcterms:modified xsi:type="dcterms:W3CDTF">2025-12-19T00:10:24Z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BF01EEA40F8F457FA7610C44237A98F1_12</vt:lpwstr>
  </property>
  <property fmtid="{D5CDD505-2E9C-101B-9397-08002B2CF9AE}" pid="3" name="KSOProductBuildVer">
    <vt:lpwstr>1033-12.2.0.18911</vt:lpwstr>
  </property>
</Properties>
</file>